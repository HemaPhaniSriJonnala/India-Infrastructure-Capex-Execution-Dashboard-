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map\Downloads\"/>
    </mc:Choice>
  </mc:AlternateContent>
  <xr:revisionPtr revIDLastSave="0" documentId="13_ncr:1_{98205101-2407-4F76-ACE5-D07C5D86B92E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README" sheetId="1" r:id="rId1"/>
    <sheet name="Ministry Budget" sheetId="2" r:id="rId2"/>
    <sheet name="State Progress" sheetId="3" r:id="rId3"/>
    <sheet name="Toll Collection" sheetId="4" r:id="rId4"/>
    <sheet name="Land Acquisition Cost" sheetId="5" r:id="rId5"/>
    <sheet name="Road Safet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6" l="1"/>
  <c r="G10" i="6"/>
  <c r="G9" i="6"/>
  <c r="G8" i="6"/>
  <c r="G7" i="6"/>
  <c r="G6" i="6"/>
  <c r="G5" i="6"/>
  <c r="G4" i="6"/>
  <c r="G3" i="6"/>
  <c r="G2" i="6"/>
  <c r="D13" i="5"/>
  <c r="D12" i="5"/>
  <c r="D11" i="5"/>
  <c r="D10" i="5"/>
  <c r="D9" i="5"/>
  <c r="D8" i="5"/>
  <c r="D7" i="5"/>
  <c r="D6" i="5"/>
  <c r="D5" i="5"/>
  <c r="D4" i="5"/>
  <c r="D3" i="5"/>
  <c r="D2" i="5"/>
  <c r="D25" i="4"/>
  <c r="C25" i="4"/>
  <c r="B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D30" i="3"/>
  <c r="F30" i="3" s="1"/>
  <c r="C30" i="3"/>
  <c r="B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E5" i="2"/>
  <c r="E4" i="2"/>
  <c r="E3" i="2"/>
  <c r="E2" i="2"/>
  <c r="F25" i="4" l="1"/>
  <c r="E25" i="4"/>
  <c r="E30" i="3"/>
</calcChain>
</file>

<file path=xl/sharedStrings.xml><?xml version="1.0" encoding="utf-8"?>
<sst xmlns="http://schemas.openxmlformats.org/spreadsheetml/2006/main" count="136" uniqueCount="98">
  <si>
    <t>India Road Infrastructure — Capex Utilization &amp; Execution Dashboard</t>
  </si>
  <si>
    <t>Purpose</t>
  </si>
  <si>
    <t>Analyze how efficiently India's road infrastructure funds are allocated, spent, and translated into constructed highway length across states, to identify execution gaps and delay patterns — the kind of evidence-based infrastructure analysis used in advisory engagements.</t>
  </si>
  <si>
    <t>Sheets in this workbook</t>
  </si>
  <si>
    <t>Ministry Budget</t>
  </si>
  <si>
    <t>Year-wise Ministry of Road Transport &amp; Highways allocation: Total, NHAI, Roads &amp; Bridges, Road Safety (2024-25 to 2026-27 BE)</t>
  </si>
  <si>
    <t>State Progress</t>
  </si>
  <si>
    <t>State-wise NH length: total sanctioned, awarded, and constructed till June 2025 — with computed completion %</t>
  </si>
  <si>
    <t>Toll Collection</t>
  </si>
  <si>
    <t>State-wise NH toll/user fee collection, 2022-23 to 2024-25, with computed YoY growth %</t>
  </si>
  <si>
    <t>Land Acquisition Cost</t>
  </si>
  <si>
    <t>Year-wise NHAI land acquisition: hectares possessed, expenditure, cost per hectare (2011-12 to 2022-23)</t>
  </si>
  <si>
    <t>Road Safety</t>
  </si>
  <si>
    <t>State-wise NH fatalities, 2019-2023 (top 10 states)</t>
  </si>
  <si>
    <t>Primary Source</t>
  </si>
  <si>
    <t>PRS Legislative Research — 'Demand for Grants 2026-27 Analysis: Road Transport and Highways', Feb 19, 2026. Compiled from Union Budget documents, NHAI reports, and Parliament Q&amp;A records. https://prsindia.org/budgets/parliament/demand-for-grants-2026-27-analysis-road-transport-and-highways</t>
  </si>
  <si>
    <t>How to use this in Power BI / Tableau</t>
  </si>
  <si>
    <t>Import each sheet as a separate table. Suggested pages: (1) National Overview — budget trend + KPI cards, (2) State Execution — map colored by completion %, (3) Toll Revenue trend, (4) Land Acquisition cost escalation over time, (5) Safety — fatalities vs NH share.</t>
  </si>
  <si>
    <t>Ministry of Road Transport &amp; Highways — Budget Allocation (Rs crore)</t>
  </si>
  <si>
    <t>Category</t>
  </si>
  <si>
    <t>2024-25 (Actual)</t>
  </si>
  <si>
    <t>2025-26 (RE)</t>
  </si>
  <si>
    <t>2026-27 (BE)</t>
  </si>
  <si>
    <t>% Change (25-26 RE to 26-27 BE)</t>
  </si>
  <si>
    <t>Total</t>
  </si>
  <si>
    <t>NHAI</t>
  </si>
  <si>
    <t>Roads and Bridges</t>
  </si>
  <si>
    <t>Road transport and safety</t>
  </si>
  <si>
    <t>Source: Union Budget Documents 2026-27 / PRS Legislative Research, Feb 2026.</t>
  </si>
  <si>
    <t>Bharatmala Pariyojana — State-wise NH Length Awarded vs Constructed (km, as of June 2025)</t>
  </si>
  <si>
    <t>State</t>
  </si>
  <si>
    <t>Total Sanctioned (km)</t>
  </si>
  <si>
    <t>Length Awarded (km)</t>
  </si>
  <si>
    <t>Length Constructed (km)</t>
  </si>
  <si>
    <t>% Awarded</t>
  </si>
  <si>
    <t>% Constructed (of Awarded)</t>
  </si>
  <si>
    <t>Andhra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</si>
  <si>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</si>
  <si>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</si>
  <si>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</si>
  <si>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</si>
  <si>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</si>
  <si>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</si>
  <si>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</si>
  <si>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</si>
  <si>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</si>
  <si>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</si>
  <si>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</si>
  <si>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</si>
  <si>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</si>
  <si>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</si>
  <si>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</si>
  <si>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</si>
  <si>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</si>
  <si>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</si>
  <si>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</si>
  <si>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</si>
  <si>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</si>
  <si>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</si>
  <si>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</si>
  <si>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</si>
  <si>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</si>
  <si>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</si>
  <si>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West Bengal</t>
  </si>
  <si>
    <t>Source: Unstarred Question No. 3124, Lok Sabha, Aug 7, 2025 / PRS Legislative Research, Feb 2026.</t>
  </si>
  <si>
    <t>State-wise NH User Fee (Toll) Collection (Rs crore)</t>
  </si>
  <si>
    <t>2022-23</t>
  </si>
  <si>
    <t>2023-24</t>
  </si>
  <si>
    <t>2024-25</t>
  </si>
  <si>
    <t>YoY Growth 23-24</t>
  </si>
  <si>
    <t>YoY Growth 24-25</t>
  </si>
  <si>
    <t>Source: Starred Question No. 54, Rajya Sabha, Feb 4, 2026 / PRS Legislative Research.</t>
  </si>
  <si>
    <t>NHAI Land Acquisition — Cost Escalation Over Time</t>
  </si>
  <si>
    <t>Year</t>
  </si>
  <si>
    <t>Land Possessed (Ha)</t>
  </si>
  <si>
    <t>Expenditure (Rs crore)</t>
  </si>
  <si>
    <t>Expenditure per Hectare (Rs crore)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</si>
  <si>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</si>
  <si>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</si>
  <si>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</si>
  <si>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</si>
  <si>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</si>
  <si>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</si>
  <si>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</si>
  <si>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</si>
  <si>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</si>
  <si>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</si>
  <si>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</si>
  <si>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Source: NHAI Annual Reports (various years) / PRS Legislative Research, Feb 2026.</t>
  </si>
  <si>
    <t>Note: Cost per hectare rose ~5x from 2011-12 to 2022-23, driven by RFCTLARR Act 2013 compensation norms.</t>
  </si>
  <si>
    <t>Top 10 States — NH Fatalities, 2019-2023</t>
  </si>
  <si>
    <t>2019</t>
  </si>
  <si>
    <t>2020</t>
  </si>
  <si>
    <t>2021</t>
  </si>
  <si>
    <t>2022</t>
  </si>
  <si>
    <t>2023</t>
  </si>
  <si>
    <t>% Change 2019-2023</t>
  </si>
  <si>
    <t>Source: Road Accidents in India 2023, MoRTH / PRS Legislative Research,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</si>
</sst>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sz val="22"/>
      <color theme="3"/>
      <name val="Calibri"/>
      <family val="2"/>
    </font>
    <font>
      <sz val="22"/>
      <color theme="3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6" fillId="0" borderId="0" xfId="0" applyFont="1"/>
    <xf numFmtId="164" fontId="2" fillId="0" borderId="0" xfId="0" applyNumberFormat="1" applyFont="1"/>
    <xf numFmtId="2" fontId="3" fillId="0" borderId="0" xfId="0" applyNumberFormat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90" customWidth="1"/>
  </cols>
  <sheetData>
    <row r="1" spans="1:2" ht="17.399999999999999" x14ac:dyDescent="0.3">
      <c r="A1" s="1" t="s">
        <v>0</v>
      </c>
    </row>
    <row r="3" spans="1:2" x14ac:dyDescent="0.3">
      <c r="A3" s="2" t="s">
        <v>1</v>
      </c>
    </row>
    <row r="4" spans="1:2" ht="45" customHeight="1" x14ac:dyDescent="0.3">
      <c r="A4" s="3" t="s">
        <v>2</v>
      </c>
    </row>
    <row r="6" spans="1:2" x14ac:dyDescent="0.3">
      <c r="A6" s="2" t="s">
        <v>3</v>
      </c>
    </row>
    <row r="7" spans="1:2" ht="30" customHeight="1" x14ac:dyDescent="0.3">
      <c r="A7" s="4" t="s">
        <v>4</v>
      </c>
      <c r="B7" s="3" t="s">
        <v>5</v>
      </c>
    </row>
    <row r="8" spans="1:2" ht="30" customHeight="1" x14ac:dyDescent="0.3">
      <c r="A8" s="4" t="s">
        <v>6</v>
      </c>
      <c r="B8" s="3" t="s">
        <v>7</v>
      </c>
    </row>
    <row r="9" spans="1:2" ht="30" customHeight="1" x14ac:dyDescent="0.3">
      <c r="A9" s="4" t="s">
        <v>8</v>
      </c>
      <c r="B9" s="3" t="s">
        <v>9</v>
      </c>
    </row>
    <row r="10" spans="1:2" ht="30" customHeight="1" x14ac:dyDescent="0.3">
      <c r="A10" s="4" t="s">
        <v>10</v>
      </c>
      <c r="B10" s="3" t="s">
        <v>11</v>
      </c>
    </row>
    <row r="11" spans="1:2" ht="30" customHeight="1" x14ac:dyDescent="0.3">
      <c r="A11" s="4" t="s">
        <v>12</v>
      </c>
      <c r="B11" s="3" t="s">
        <v>13</v>
      </c>
    </row>
    <row r="13" spans="1:2" x14ac:dyDescent="0.3">
      <c r="A13" s="2" t="s">
        <v>14</v>
      </c>
    </row>
    <row r="14" spans="1:2" ht="45" customHeight="1" x14ac:dyDescent="0.3">
      <c r="A14" s="3" t="s">
        <v>15</v>
      </c>
    </row>
    <row r="16" spans="1:2" x14ac:dyDescent="0.3">
      <c r="A16" s="2" t="s">
        <v>16</v>
      </c>
    </row>
    <row r="17" spans="1:1" ht="45" customHeight="1" x14ac:dyDescent="0.3">
      <c r="A17" s="3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>
      <selection activeCell="E15" sqref="E15"/>
    </sheetView>
  </sheetViews>
  <sheetFormatPr defaultColWidth="8.6640625" defaultRowHeight="14.4" x14ac:dyDescent="0.3"/>
  <cols>
    <col min="1" max="1" width="28" customWidth="1"/>
    <col min="2" max="2" width="16" customWidth="1"/>
    <col min="3" max="4" width="14" customWidth="1"/>
    <col min="5" max="5" width="26" customWidth="1"/>
  </cols>
  <sheetData>
    <row r="1" spans="1:5" ht="27.6" x14ac:dyDescent="0.3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spans="1:5" x14ac:dyDescent="0.3">
      <c r="A2" s="6" t="s">
        <v>24</v>
      </c>
      <c r="B2" s="6">
        <v>299460</v>
      </c>
      <c r="C2" s="6">
        <v>287142</v>
      </c>
      <c r="D2" s="6">
        <v>309875</v>
      </c>
      <c r="E2" s="7">
        <f>(D2-C2)/C2</f>
        <v>7.9169888069317615E-2</v>
      </c>
    </row>
    <row r="3" spans="1:5" x14ac:dyDescent="0.3">
      <c r="A3" s="6" t="s">
        <v>25</v>
      </c>
      <c r="B3" s="6">
        <v>168602</v>
      </c>
      <c r="C3" s="6">
        <v>170266</v>
      </c>
      <c r="D3" s="6">
        <v>187293</v>
      </c>
      <c r="E3" s="7">
        <f>(D3-C3)/C3</f>
        <v>0.10000234926526728</v>
      </c>
    </row>
    <row r="4" spans="1:5" x14ac:dyDescent="0.3">
      <c r="A4" s="6" t="s">
        <v>26</v>
      </c>
      <c r="B4" s="6">
        <v>130965</v>
      </c>
      <c r="C4" s="6">
        <v>116337</v>
      </c>
      <c r="D4" s="6">
        <v>121999</v>
      </c>
      <c r="E4" s="7">
        <f>(D4-C4)/C4</f>
        <v>4.8668953127551852E-2</v>
      </c>
    </row>
    <row r="5" spans="1:5" x14ac:dyDescent="0.3">
      <c r="A5" s="6" t="s">
        <v>27</v>
      </c>
      <c r="B5" s="6">
        <v>254</v>
      </c>
      <c r="C5" s="6">
        <v>360</v>
      </c>
      <c r="D5" s="6">
        <v>400</v>
      </c>
      <c r="E5" s="7">
        <f>(D5-C5)/C5</f>
        <v>0.1111111111111111</v>
      </c>
    </row>
    <row r="7" spans="1:5" x14ac:dyDescent="0.3">
      <c r="A7" s="8" t="s">
        <v>28</v>
      </c>
    </row>
    <row r="9" spans="1:5" ht="28.8" x14ac:dyDescent="0.55000000000000004">
      <c r="A9" s="11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zoomScaleNormal="100" workbookViewId="0">
      <selection activeCell="C38" sqref="C37:C38"/>
    </sheetView>
  </sheetViews>
  <sheetFormatPr defaultColWidth="8.6640625" defaultRowHeight="14.4" x14ac:dyDescent="0.3"/>
  <cols>
    <col min="1" max="2" width="20" customWidth="1"/>
    <col min="3" max="3" width="18" customWidth="1"/>
    <col min="4" max="4" width="20" customWidth="1"/>
    <col min="5" max="5" width="12" customWidth="1"/>
    <col min="6" max="6" width="22" customWidth="1"/>
  </cols>
  <sheetData>
    <row r="1" spans="1:6" ht="27.6" x14ac:dyDescent="0.3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</row>
    <row r="2" spans="1:6" x14ac:dyDescent="0.3">
      <c r="A2" s="6" t="s">
        <v>36</v>
      </c>
      <c r="B2" s="6">
        <v>2525</v>
      </c>
      <c r="C2" s="6">
        <v>1936</v>
      </c>
      <c r="D2" s="6">
        <v>1234</v>
      </c>
      <c r="E2" s="7">
        <f t="shared" ref="E2:E30" si="0">C2/B2</f>
        <v>0.76673267326732675</v>
      </c>
      <c r="F2" s="7">
        <f t="shared" ref="F2:F30" si="1">D2/C2</f>
        <v>0.63739669421487599</v>
      </c>
    </row>
    <row r="3" spans="1:6" x14ac:dyDescent="0.3">
      <c r="A3" s="6" t="s">
        <v>37</v>
      </c>
      <c r="B3" s="6">
        <v>433</v>
      </c>
      <c r="C3" s="6">
        <v>431</v>
      </c>
      <c r="D3" s="6">
        <v>349</v>
      </c>
      <c r="E3" s="7">
        <f t="shared" si="0"/>
        <v>0.99538106235565815</v>
      </c>
      <c r="F3" s="7">
        <f t="shared" si="1"/>
        <v>0.80974477958236657</v>
      </c>
    </row>
    <row r="4" spans="1:6" x14ac:dyDescent="0.3">
      <c r="A4" s="6" t="s">
        <v>38</v>
      </c>
      <c r="B4" s="6">
        <v>1572</v>
      </c>
      <c r="C4" s="6">
        <v>1159</v>
      </c>
      <c r="D4" s="6">
        <v>698</v>
      </c>
      <c r="E4" s="7">
        <f t="shared" si="0"/>
        <v>0.73727735368956748</v>
      </c>
      <c r="F4" s="7">
        <f t="shared" si="1"/>
        <v>0.60224331320103541</v>
      </c>
    </row>
    <row r="5" spans="1:6" x14ac:dyDescent="0.3">
      <c r="A5" s="6" t="s">
        <v>39</v>
      </c>
      <c r="B5" s="6">
        <v>571</v>
      </c>
      <c r="C5" s="6">
        <v>471</v>
      </c>
      <c r="D5" s="6">
        <v>344</v>
      </c>
      <c r="E5" s="7">
        <f t="shared" si="0"/>
        <v>0.82486865148861643</v>
      </c>
      <c r="F5" s="7">
        <f t="shared" si="1"/>
        <v>0.73036093418259018</v>
      </c>
    </row>
    <row r="6" spans="1:6" x14ac:dyDescent="0.3">
      <c r="A6" s="6" t="s">
        <v>40</v>
      </c>
      <c r="B6" s="6">
        <v>203</v>
      </c>
      <c r="C6" s="6">
        <v>203</v>
      </c>
      <c r="D6" s="6">
        <v>187</v>
      </c>
      <c r="E6" s="7">
        <f t="shared" si="0"/>
        <v>1</v>
      </c>
      <c r="F6" s="7">
        <f t="shared" si="1"/>
        <v>0.9211822660098522</v>
      </c>
    </row>
    <row r="7" spans="1:6" x14ac:dyDescent="0.3">
      <c r="A7" s="6" t="s">
        <v>41</v>
      </c>
      <c r="B7" s="6">
        <v>26</v>
      </c>
      <c r="C7" s="6">
        <v>26</v>
      </c>
      <c r="D7" s="6">
        <v>26</v>
      </c>
      <c r="E7" s="7">
        <f t="shared" si="0"/>
        <v>1</v>
      </c>
      <c r="F7" s="7">
        <f t="shared" si="1"/>
        <v>1</v>
      </c>
    </row>
    <row r="8" spans="1:6" x14ac:dyDescent="0.3">
      <c r="A8" s="6" t="s">
        <v>42</v>
      </c>
      <c r="B8" s="6">
        <v>1577</v>
      </c>
      <c r="C8" s="6">
        <v>1194</v>
      </c>
      <c r="D8" s="6">
        <v>1023</v>
      </c>
      <c r="E8" s="7">
        <f t="shared" si="0"/>
        <v>0.7571337983512999</v>
      </c>
      <c r="F8" s="7">
        <f t="shared" si="1"/>
        <v>0.85678391959798994</v>
      </c>
    </row>
    <row r="9" spans="1:6" x14ac:dyDescent="0.3">
      <c r="A9" s="6" t="s">
        <v>43</v>
      </c>
      <c r="B9" s="6">
        <v>1058</v>
      </c>
      <c r="C9" s="6">
        <v>1058</v>
      </c>
      <c r="D9" s="6">
        <v>977</v>
      </c>
      <c r="E9" s="7">
        <f t="shared" si="0"/>
        <v>1</v>
      </c>
      <c r="F9" s="7">
        <f t="shared" si="1"/>
        <v>0.92344045368620042</v>
      </c>
    </row>
    <row r="10" spans="1:6" x14ac:dyDescent="0.3">
      <c r="A10" s="6" t="s">
        <v>44</v>
      </c>
      <c r="B10" s="6">
        <v>167</v>
      </c>
      <c r="C10" s="6">
        <v>167</v>
      </c>
      <c r="D10" s="6">
        <v>115</v>
      </c>
      <c r="E10" s="7">
        <f t="shared" si="0"/>
        <v>1</v>
      </c>
      <c r="F10" s="7">
        <f t="shared" si="1"/>
        <v>0.68862275449101795</v>
      </c>
    </row>
    <row r="11" spans="1:6" x14ac:dyDescent="0.3">
      <c r="A11" s="6" t="s">
        <v>45</v>
      </c>
      <c r="B11" s="6">
        <v>433</v>
      </c>
      <c r="C11" s="6">
        <v>251</v>
      </c>
      <c r="D11" s="6">
        <v>145</v>
      </c>
      <c r="E11" s="7">
        <f t="shared" si="0"/>
        <v>0.57967667436489612</v>
      </c>
      <c r="F11" s="7">
        <f t="shared" si="1"/>
        <v>0.57768924302788849</v>
      </c>
    </row>
    <row r="12" spans="1:6" x14ac:dyDescent="0.3">
      <c r="A12" s="6" t="s">
        <v>46</v>
      </c>
      <c r="B12" s="6">
        <v>1000</v>
      </c>
      <c r="C12" s="6">
        <v>801</v>
      </c>
      <c r="D12" s="6">
        <v>508</v>
      </c>
      <c r="E12" s="7">
        <f t="shared" si="0"/>
        <v>0.80100000000000005</v>
      </c>
      <c r="F12" s="7">
        <f t="shared" si="1"/>
        <v>0.63420724094881398</v>
      </c>
    </row>
    <row r="13" spans="1:6" x14ac:dyDescent="0.3">
      <c r="A13" s="6" t="s">
        <v>47</v>
      </c>
      <c r="B13" s="6">
        <v>2059</v>
      </c>
      <c r="C13" s="6">
        <v>1603</v>
      </c>
      <c r="D13" s="6">
        <v>1156</v>
      </c>
      <c r="E13" s="7">
        <f t="shared" si="0"/>
        <v>0.77853326857697913</v>
      </c>
      <c r="F13" s="7">
        <f t="shared" si="1"/>
        <v>0.72114784778540242</v>
      </c>
    </row>
    <row r="14" spans="1:6" x14ac:dyDescent="0.3">
      <c r="A14" s="6" t="s">
        <v>48</v>
      </c>
      <c r="B14" s="6">
        <v>1126</v>
      </c>
      <c r="C14" s="6">
        <v>708</v>
      </c>
      <c r="D14" s="6">
        <v>506</v>
      </c>
      <c r="E14" s="7">
        <f t="shared" si="0"/>
        <v>0.62877442273534634</v>
      </c>
      <c r="F14" s="7">
        <f t="shared" si="1"/>
        <v>0.71468926553672318</v>
      </c>
    </row>
    <row r="15" spans="1:6" x14ac:dyDescent="0.3">
      <c r="A15" s="6" t="s">
        <v>49</v>
      </c>
      <c r="B15" s="6">
        <v>3063</v>
      </c>
      <c r="C15" s="6">
        <v>2017</v>
      </c>
      <c r="D15" s="6">
        <v>1674</v>
      </c>
      <c r="E15" s="7">
        <f t="shared" si="0"/>
        <v>0.65850473392099251</v>
      </c>
      <c r="F15" s="7">
        <f t="shared" si="1"/>
        <v>0.82994546355974219</v>
      </c>
    </row>
    <row r="16" spans="1:6" x14ac:dyDescent="0.3">
      <c r="A16" s="6" t="s">
        <v>50</v>
      </c>
      <c r="B16" s="6">
        <v>3029</v>
      </c>
      <c r="C16" s="6">
        <v>2174</v>
      </c>
      <c r="D16" s="6">
        <v>1944</v>
      </c>
      <c r="E16" s="7">
        <f t="shared" si="0"/>
        <v>0.71772862330802245</v>
      </c>
      <c r="F16" s="7">
        <f t="shared" si="1"/>
        <v>0.89420423183072673</v>
      </c>
    </row>
    <row r="17" spans="1:6" x14ac:dyDescent="0.3">
      <c r="A17" s="6" t="s">
        <v>51</v>
      </c>
      <c r="B17" s="6">
        <v>635</v>
      </c>
      <c r="C17" s="6">
        <v>635</v>
      </c>
      <c r="D17" s="6">
        <v>443</v>
      </c>
      <c r="E17" s="7">
        <f t="shared" si="0"/>
        <v>1</v>
      </c>
      <c r="F17" s="7">
        <f t="shared" si="1"/>
        <v>0.69763779527559056</v>
      </c>
    </row>
    <row r="18" spans="1:6" x14ac:dyDescent="0.3">
      <c r="A18" s="6" t="s">
        <v>52</v>
      </c>
      <c r="B18" s="6">
        <v>170</v>
      </c>
      <c r="C18" s="6">
        <v>170</v>
      </c>
      <c r="D18" s="6">
        <v>118</v>
      </c>
      <c r="E18" s="7">
        <f t="shared" si="0"/>
        <v>1</v>
      </c>
      <c r="F18" s="7">
        <f t="shared" si="1"/>
        <v>0.69411764705882351</v>
      </c>
    </row>
    <row r="19" spans="1:6" x14ac:dyDescent="0.3">
      <c r="A19" s="6" t="s">
        <v>53</v>
      </c>
      <c r="B19" s="6">
        <v>593</v>
      </c>
      <c r="C19" s="6">
        <v>593</v>
      </c>
      <c r="D19" s="6">
        <v>493</v>
      </c>
      <c r="E19" s="7">
        <f t="shared" si="0"/>
        <v>1</v>
      </c>
      <c r="F19" s="7">
        <f t="shared" si="1"/>
        <v>0.83136593591905561</v>
      </c>
    </row>
    <row r="20" spans="1:6" x14ac:dyDescent="0.3">
      <c r="A20" s="6" t="s">
        <v>54</v>
      </c>
      <c r="B20" s="6">
        <v>208</v>
      </c>
      <c r="C20" s="6">
        <v>208</v>
      </c>
      <c r="D20" s="6">
        <v>153</v>
      </c>
      <c r="E20" s="7">
        <f t="shared" si="0"/>
        <v>1</v>
      </c>
      <c r="F20" s="7">
        <f t="shared" si="1"/>
        <v>0.73557692307692313</v>
      </c>
    </row>
    <row r="21" spans="1:6" x14ac:dyDescent="0.3">
      <c r="A21" s="6" t="s">
        <v>55</v>
      </c>
      <c r="B21" s="6">
        <v>1586</v>
      </c>
      <c r="C21" s="6">
        <v>967</v>
      </c>
      <c r="D21" s="6">
        <v>928</v>
      </c>
      <c r="E21" s="7">
        <f t="shared" si="0"/>
        <v>0.60970996216897855</v>
      </c>
      <c r="F21" s="7">
        <f t="shared" si="1"/>
        <v>0.95966907962771453</v>
      </c>
    </row>
    <row r="22" spans="1:6" x14ac:dyDescent="0.3">
      <c r="A22" s="6" t="s">
        <v>56</v>
      </c>
      <c r="B22" s="6">
        <v>1764</v>
      </c>
      <c r="C22" s="6">
        <v>1553</v>
      </c>
      <c r="D22" s="6">
        <v>714</v>
      </c>
      <c r="E22" s="7">
        <f t="shared" si="0"/>
        <v>0.88038548752834467</v>
      </c>
      <c r="F22" s="7">
        <f t="shared" si="1"/>
        <v>0.45975531229877659</v>
      </c>
    </row>
    <row r="23" spans="1:6" x14ac:dyDescent="0.3">
      <c r="A23" s="6" t="s">
        <v>57</v>
      </c>
      <c r="B23" s="6">
        <v>2503</v>
      </c>
      <c r="C23" s="6">
        <v>2360</v>
      </c>
      <c r="D23" s="6">
        <v>2257</v>
      </c>
      <c r="E23" s="7">
        <f t="shared" si="0"/>
        <v>0.94286855773072309</v>
      </c>
      <c r="F23" s="7">
        <f t="shared" si="1"/>
        <v>0.95635593220338988</v>
      </c>
    </row>
    <row r="24" spans="1:6" x14ac:dyDescent="0.3">
      <c r="A24" s="6" t="s">
        <v>58</v>
      </c>
      <c r="B24" s="6">
        <v>2414</v>
      </c>
      <c r="C24" s="6">
        <v>1476</v>
      </c>
      <c r="D24" s="6">
        <v>1265</v>
      </c>
      <c r="E24" s="7">
        <f t="shared" si="0"/>
        <v>0.61143330571665289</v>
      </c>
      <c r="F24" s="7">
        <f t="shared" si="1"/>
        <v>0.85704607046070458</v>
      </c>
    </row>
    <row r="25" spans="1:6" x14ac:dyDescent="0.3">
      <c r="A25" s="6" t="s">
        <v>59</v>
      </c>
      <c r="B25" s="6">
        <v>1719</v>
      </c>
      <c r="C25" s="6">
        <v>1026</v>
      </c>
      <c r="D25" s="6">
        <v>874</v>
      </c>
      <c r="E25" s="7">
        <f t="shared" si="0"/>
        <v>0.59685863874345546</v>
      </c>
      <c r="F25" s="7">
        <f t="shared" si="1"/>
        <v>0.85185185185185186</v>
      </c>
    </row>
    <row r="26" spans="1:6" x14ac:dyDescent="0.3">
      <c r="A26" s="6" t="s">
        <v>60</v>
      </c>
      <c r="B26" s="6">
        <v>94</v>
      </c>
      <c r="C26" s="6">
        <v>94</v>
      </c>
      <c r="D26" s="6">
        <v>64</v>
      </c>
      <c r="E26" s="7">
        <f t="shared" si="0"/>
        <v>1</v>
      </c>
      <c r="F26" s="7">
        <f t="shared" si="1"/>
        <v>0.68085106382978722</v>
      </c>
    </row>
    <row r="27" spans="1:6" x14ac:dyDescent="0.3">
      <c r="A27" s="6" t="s">
        <v>61</v>
      </c>
      <c r="B27" s="6">
        <v>3126</v>
      </c>
      <c r="C27" s="6">
        <v>2495</v>
      </c>
      <c r="D27" s="6">
        <v>2061</v>
      </c>
      <c r="E27" s="7">
        <f t="shared" si="0"/>
        <v>0.79814459373000635</v>
      </c>
      <c r="F27" s="7">
        <f t="shared" si="1"/>
        <v>0.82605210420841679</v>
      </c>
    </row>
    <row r="28" spans="1:6" x14ac:dyDescent="0.3">
      <c r="A28" s="6" t="s">
        <v>62</v>
      </c>
      <c r="B28" s="6">
        <v>273</v>
      </c>
      <c r="C28" s="6">
        <v>264</v>
      </c>
      <c r="D28" s="6">
        <v>174</v>
      </c>
      <c r="E28" s="7">
        <f t="shared" si="0"/>
        <v>0.96703296703296704</v>
      </c>
      <c r="F28" s="7">
        <f t="shared" si="1"/>
        <v>0.65909090909090906</v>
      </c>
    </row>
    <row r="29" spans="1:6" x14ac:dyDescent="0.3">
      <c r="A29" s="6" t="s">
        <v>63</v>
      </c>
      <c r="B29" s="6">
        <v>874</v>
      </c>
      <c r="C29" s="6">
        <v>385</v>
      </c>
      <c r="D29" s="6">
        <v>339</v>
      </c>
      <c r="E29" s="7">
        <f t="shared" si="0"/>
        <v>0.4405034324942792</v>
      </c>
      <c r="F29" s="7">
        <f t="shared" si="1"/>
        <v>0.88051948051948048</v>
      </c>
    </row>
    <row r="30" spans="1:6" x14ac:dyDescent="0.3">
      <c r="A30" s="2" t="s">
        <v>24</v>
      </c>
      <c r="B30" s="2">
        <f>SUM(B2:B29)</f>
        <v>34801</v>
      </c>
      <c r="C30" s="2">
        <f>SUM(C2:C29)</f>
        <v>26425</v>
      </c>
      <c r="D30" s="2">
        <f>SUM(D2:D29)</f>
        <v>20769</v>
      </c>
      <c r="E30" s="9">
        <f t="shared" si="0"/>
        <v>0.75931726099824715</v>
      </c>
      <c r="F30" s="9">
        <f t="shared" si="1"/>
        <v>0.78596026490066229</v>
      </c>
    </row>
    <row r="32" spans="1:6" x14ac:dyDescent="0.3">
      <c r="A32" s="8" t="s">
        <v>64</v>
      </c>
    </row>
    <row r="34" spans="1:1" ht="28.8" x14ac:dyDescent="0.55000000000000004">
      <c r="A34" s="11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zoomScaleNormal="100" workbookViewId="0">
      <selection activeCell="A30" sqref="A30"/>
    </sheetView>
  </sheetViews>
  <sheetFormatPr defaultColWidth="8.6640625" defaultRowHeight="14.4" x14ac:dyDescent="0.3"/>
  <cols>
    <col min="1" max="1" width="20" customWidth="1"/>
    <col min="2" max="4" width="12" customWidth="1"/>
    <col min="5" max="6" width="16" customWidth="1"/>
  </cols>
  <sheetData>
    <row r="1" spans="1:6" ht="27.6" x14ac:dyDescent="0.3">
      <c r="A1" s="5" t="s">
        <v>30</v>
      </c>
      <c r="B1" s="5" t="s">
        <v>66</v>
      </c>
      <c r="C1" s="5" t="s">
        <v>67</v>
      </c>
      <c r="D1" s="5" t="s">
        <v>68</v>
      </c>
      <c r="E1" s="5" t="s">
        <v>69</v>
      </c>
      <c r="F1" s="5" t="s">
        <v>70</v>
      </c>
    </row>
    <row r="2" spans="1:6" x14ac:dyDescent="0.3">
      <c r="A2" s="6" t="s">
        <v>36</v>
      </c>
      <c r="B2" s="6">
        <v>3274</v>
      </c>
      <c r="C2" s="6">
        <v>3502</v>
      </c>
      <c r="D2" s="6">
        <v>3719</v>
      </c>
      <c r="E2" s="7">
        <f t="shared" ref="E2:E25" si="0">(C2-B2)/B2</f>
        <v>6.9639584605986557E-2</v>
      </c>
      <c r="F2" s="7">
        <f t="shared" ref="F2:F25" si="1">(D2-C2)/C2</f>
        <v>6.196459166190748E-2</v>
      </c>
    </row>
    <row r="3" spans="1:6" x14ac:dyDescent="0.3">
      <c r="A3" s="6" t="s">
        <v>37</v>
      </c>
      <c r="B3" s="6">
        <v>466</v>
      </c>
      <c r="C3" s="6">
        <v>486</v>
      </c>
      <c r="D3" s="6">
        <v>548</v>
      </c>
      <c r="E3" s="7">
        <f t="shared" si="0"/>
        <v>4.2918454935622317E-2</v>
      </c>
      <c r="F3" s="7">
        <f t="shared" si="1"/>
        <v>0.12757201646090535</v>
      </c>
    </row>
    <row r="4" spans="1:6" x14ac:dyDescent="0.3">
      <c r="A4" s="6" t="s">
        <v>38</v>
      </c>
      <c r="B4" s="6">
        <v>1566</v>
      </c>
      <c r="C4" s="6">
        <v>1721</v>
      </c>
      <c r="D4" s="6">
        <v>2037</v>
      </c>
      <c r="E4" s="7">
        <f t="shared" si="0"/>
        <v>9.8978288633461045E-2</v>
      </c>
      <c r="F4" s="7">
        <f t="shared" si="1"/>
        <v>0.18361417780360256</v>
      </c>
    </row>
    <row r="5" spans="1:6" x14ac:dyDescent="0.3">
      <c r="A5" s="6" t="s">
        <v>39</v>
      </c>
      <c r="B5" s="6">
        <v>866</v>
      </c>
      <c r="C5" s="6">
        <v>1010</v>
      </c>
      <c r="D5" s="6">
        <v>1147</v>
      </c>
      <c r="E5" s="7">
        <f t="shared" si="0"/>
        <v>0.16628175519630484</v>
      </c>
      <c r="F5" s="7">
        <f t="shared" si="1"/>
        <v>0.13564356435643565</v>
      </c>
    </row>
    <row r="6" spans="1:6" x14ac:dyDescent="0.3">
      <c r="A6" s="6" t="s">
        <v>40</v>
      </c>
      <c r="B6" s="6">
        <v>1786</v>
      </c>
      <c r="C6" s="6">
        <v>2558</v>
      </c>
      <c r="D6" s="6">
        <v>3017</v>
      </c>
      <c r="E6" s="7">
        <f t="shared" si="0"/>
        <v>0.43225083986562152</v>
      </c>
      <c r="F6" s="7">
        <f t="shared" si="1"/>
        <v>0.17943706020328382</v>
      </c>
    </row>
    <row r="7" spans="1:6" x14ac:dyDescent="0.3">
      <c r="A7" s="6" t="s">
        <v>42</v>
      </c>
      <c r="B7" s="6">
        <v>4519</v>
      </c>
      <c r="C7" s="6">
        <v>4851</v>
      </c>
      <c r="D7" s="6">
        <v>5450</v>
      </c>
      <c r="E7" s="7">
        <f t="shared" si="0"/>
        <v>7.3467581323301612E-2</v>
      </c>
      <c r="F7" s="7">
        <f t="shared" si="1"/>
        <v>0.12347969490826634</v>
      </c>
    </row>
    <row r="8" spans="1:6" x14ac:dyDescent="0.3">
      <c r="A8" s="6" t="s">
        <v>43</v>
      </c>
      <c r="B8" s="6">
        <v>1519</v>
      </c>
      <c r="C8" s="6">
        <v>2072</v>
      </c>
      <c r="D8" s="6">
        <v>1956</v>
      </c>
      <c r="E8" s="7">
        <f t="shared" si="0"/>
        <v>0.36405529953917048</v>
      </c>
      <c r="F8" s="7">
        <f t="shared" si="1"/>
        <v>-5.5984555984555984E-2</v>
      </c>
    </row>
    <row r="9" spans="1:6" x14ac:dyDescent="0.3">
      <c r="A9" s="6" t="s">
        <v>44</v>
      </c>
      <c r="B9" s="6">
        <v>56</v>
      </c>
      <c r="C9" s="6">
        <v>114</v>
      </c>
      <c r="D9" s="6">
        <v>171</v>
      </c>
      <c r="E9" s="7">
        <f t="shared" si="0"/>
        <v>1.0357142857142858</v>
      </c>
      <c r="F9" s="7">
        <f t="shared" si="1"/>
        <v>0.5</v>
      </c>
    </row>
    <row r="10" spans="1:6" x14ac:dyDescent="0.3">
      <c r="A10" s="6" t="s">
        <v>45</v>
      </c>
      <c r="B10" s="6">
        <v>410</v>
      </c>
      <c r="C10" s="6">
        <v>437</v>
      </c>
      <c r="D10" s="6">
        <v>508</v>
      </c>
      <c r="E10" s="7">
        <f t="shared" si="0"/>
        <v>6.5853658536585369E-2</v>
      </c>
      <c r="F10" s="7">
        <f t="shared" si="1"/>
        <v>0.16247139588100687</v>
      </c>
    </row>
    <row r="11" spans="1:6" x14ac:dyDescent="0.3">
      <c r="A11" s="6" t="s">
        <v>46</v>
      </c>
      <c r="B11" s="6">
        <v>607</v>
      </c>
      <c r="C11" s="6">
        <v>818</v>
      </c>
      <c r="D11" s="6">
        <v>895</v>
      </c>
      <c r="E11" s="7">
        <f t="shared" si="0"/>
        <v>0.34761120263591433</v>
      </c>
      <c r="F11" s="7">
        <f t="shared" si="1"/>
        <v>9.4132029339853304E-2</v>
      </c>
    </row>
    <row r="12" spans="1:6" x14ac:dyDescent="0.3">
      <c r="A12" s="6" t="s">
        <v>47</v>
      </c>
      <c r="B12" s="6">
        <v>3517</v>
      </c>
      <c r="C12" s="6">
        <v>4086</v>
      </c>
      <c r="D12" s="6">
        <v>4320</v>
      </c>
      <c r="E12" s="7">
        <f t="shared" si="0"/>
        <v>0.16178561273812908</v>
      </c>
      <c r="F12" s="7">
        <f t="shared" si="1"/>
        <v>5.7268722466960353E-2</v>
      </c>
    </row>
    <row r="13" spans="1:6" x14ac:dyDescent="0.3">
      <c r="A13" s="6" t="s">
        <v>48</v>
      </c>
      <c r="B13" s="6">
        <v>461</v>
      </c>
      <c r="C13" s="6">
        <v>563</v>
      </c>
      <c r="D13" s="6">
        <v>579</v>
      </c>
      <c r="E13" s="7">
        <f t="shared" si="0"/>
        <v>0.22125813449023862</v>
      </c>
      <c r="F13" s="7">
        <f t="shared" si="1"/>
        <v>2.8419182948490232E-2</v>
      </c>
    </row>
    <row r="14" spans="1:6" x14ac:dyDescent="0.3">
      <c r="A14" s="6" t="s">
        <v>49</v>
      </c>
      <c r="B14" s="6">
        <v>3185</v>
      </c>
      <c r="C14" s="6">
        <v>3858</v>
      </c>
      <c r="D14" s="6">
        <v>4188</v>
      </c>
      <c r="E14" s="7">
        <f t="shared" si="0"/>
        <v>0.21130298273155415</v>
      </c>
      <c r="F14" s="7">
        <f t="shared" si="1"/>
        <v>8.553654743390357E-2</v>
      </c>
    </row>
    <row r="15" spans="1:6" x14ac:dyDescent="0.3">
      <c r="A15" s="6" t="s">
        <v>50</v>
      </c>
      <c r="B15" s="6">
        <v>4660</v>
      </c>
      <c r="C15" s="6">
        <v>5353</v>
      </c>
      <c r="D15" s="6">
        <v>6103</v>
      </c>
      <c r="E15" s="7">
        <f t="shared" si="0"/>
        <v>0.14871244635193134</v>
      </c>
      <c r="F15" s="7">
        <f t="shared" si="1"/>
        <v>0.14010835045768727</v>
      </c>
    </row>
    <row r="16" spans="1:6" x14ac:dyDescent="0.3">
      <c r="A16" s="6" t="s">
        <v>52</v>
      </c>
      <c r="B16" s="6">
        <v>94</v>
      </c>
      <c r="C16" s="6">
        <v>96</v>
      </c>
      <c r="D16" s="6">
        <v>84</v>
      </c>
      <c r="E16" s="7">
        <f t="shared" si="0"/>
        <v>2.1276595744680851E-2</v>
      </c>
      <c r="F16" s="7">
        <f t="shared" si="1"/>
        <v>-0.125</v>
      </c>
    </row>
    <row r="17" spans="1:6" x14ac:dyDescent="0.3">
      <c r="A17" s="6" t="s">
        <v>55</v>
      </c>
      <c r="B17" s="6">
        <v>1274</v>
      </c>
      <c r="C17" s="6">
        <v>1745</v>
      </c>
      <c r="D17" s="6">
        <v>1856</v>
      </c>
      <c r="E17" s="7">
        <f t="shared" si="0"/>
        <v>0.36970172684458397</v>
      </c>
      <c r="F17" s="7">
        <f t="shared" si="1"/>
        <v>6.3610315186246422E-2</v>
      </c>
    </row>
    <row r="18" spans="1:6" x14ac:dyDescent="0.3">
      <c r="A18" s="6" t="s">
        <v>56</v>
      </c>
      <c r="B18" s="6">
        <v>1188</v>
      </c>
      <c r="C18" s="6">
        <v>1492</v>
      </c>
      <c r="D18" s="6">
        <v>1574</v>
      </c>
      <c r="E18" s="7">
        <f t="shared" si="0"/>
        <v>0.25589225589225589</v>
      </c>
      <c r="F18" s="7">
        <f t="shared" si="1"/>
        <v>5.4959785522788206E-2</v>
      </c>
    </row>
    <row r="19" spans="1:6" x14ac:dyDescent="0.3">
      <c r="A19" s="6" t="s">
        <v>57</v>
      </c>
      <c r="B19" s="6">
        <v>5054</v>
      </c>
      <c r="C19" s="6">
        <v>5697</v>
      </c>
      <c r="D19" s="6">
        <v>6289</v>
      </c>
      <c r="E19" s="7">
        <f t="shared" si="0"/>
        <v>0.12722595963593195</v>
      </c>
      <c r="F19" s="7">
        <f t="shared" si="1"/>
        <v>0.10391434088116552</v>
      </c>
    </row>
    <row r="20" spans="1:6" x14ac:dyDescent="0.3">
      <c r="A20" s="6" t="s">
        <v>58</v>
      </c>
      <c r="B20" s="6">
        <v>3817</v>
      </c>
      <c r="C20" s="6">
        <v>4222</v>
      </c>
      <c r="D20" s="6">
        <v>4459</v>
      </c>
      <c r="E20" s="7">
        <f t="shared" si="0"/>
        <v>0.10610427036940005</v>
      </c>
      <c r="F20" s="7">
        <f t="shared" si="1"/>
        <v>5.6134533396494553E-2</v>
      </c>
    </row>
    <row r="21" spans="1:6" x14ac:dyDescent="0.3">
      <c r="A21" s="6" t="s">
        <v>59</v>
      </c>
      <c r="B21" s="6">
        <v>1826</v>
      </c>
      <c r="C21" s="6">
        <v>2098</v>
      </c>
      <c r="D21" s="6">
        <v>2311</v>
      </c>
      <c r="E21" s="7">
        <f t="shared" si="0"/>
        <v>0.14895947426067907</v>
      </c>
      <c r="F21" s="7">
        <f t="shared" si="1"/>
        <v>0.10152526215443279</v>
      </c>
    </row>
    <row r="22" spans="1:6" x14ac:dyDescent="0.3">
      <c r="A22" s="6" t="s">
        <v>61</v>
      </c>
      <c r="B22" s="6">
        <v>4811</v>
      </c>
      <c r="C22" s="6">
        <v>5774</v>
      </c>
      <c r="D22" s="6">
        <v>6574</v>
      </c>
      <c r="E22" s="7">
        <f t="shared" si="0"/>
        <v>0.20016628559551028</v>
      </c>
      <c r="F22" s="7">
        <f t="shared" si="1"/>
        <v>0.13855213023900242</v>
      </c>
    </row>
    <row r="23" spans="1:6" x14ac:dyDescent="0.3">
      <c r="A23" s="6" t="s">
        <v>62</v>
      </c>
      <c r="B23" s="6">
        <v>458</v>
      </c>
      <c r="C23" s="6">
        <v>534</v>
      </c>
      <c r="D23" s="6">
        <v>582</v>
      </c>
      <c r="E23" s="7">
        <f t="shared" si="0"/>
        <v>0.16593886462882096</v>
      </c>
      <c r="F23" s="7">
        <f t="shared" si="1"/>
        <v>8.98876404494382E-2</v>
      </c>
    </row>
    <row r="24" spans="1:6" x14ac:dyDescent="0.3">
      <c r="A24" s="6" t="s">
        <v>63</v>
      </c>
      <c r="B24" s="6">
        <v>2619</v>
      </c>
      <c r="C24" s="6">
        <v>2795</v>
      </c>
      <c r="D24" s="6">
        <v>3043</v>
      </c>
      <c r="E24" s="7">
        <f t="shared" si="0"/>
        <v>6.7201221840397105E-2</v>
      </c>
      <c r="F24" s="7">
        <f t="shared" si="1"/>
        <v>8.87298747763864E-2</v>
      </c>
    </row>
    <row r="25" spans="1:6" x14ac:dyDescent="0.3">
      <c r="A25" s="2" t="s">
        <v>24</v>
      </c>
      <c r="B25" s="2">
        <f>SUM(B2:B24)</f>
        <v>48033</v>
      </c>
      <c r="C25" s="2">
        <f>SUM(C2:C24)</f>
        <v>55882</v>
      </c>
      <c r="D25" s="2">
        <f>SUM(D2:D24)</f>
        <v>61410</v>
      </c>
      <c r="E25" s="9">
        <f t="shared" si="0"/>
        <v>0.16340848999646077</v>
      </c>
      <c r="F25" s="9">
        <f t="shared" si="1"/>
        <v>9.8922730038294979E-2</v>
      </c>
    </row>
    <row r="27" spans="1:6" x14ac:dyDescent="0.3">
      <c r="A27" s="8" t="s">
        <v>71</v>
      </c>
    </row>
    <row r="30" spans="1:6" ht="28.8" x14ac:dyDescent="0.55000000000000004">
      <c r="A30" s="11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zoomScaleNormal="100" workbookViewId="0">
      <selection activeCell="E24" sqref="E23:E24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2" customWidth="1"/>
    <col min="4" max="4" width="28" customWidth="1"/>
  </cols>
  <sheetData>
    <row r="1" spans="1:4" ht="27.6" x14ac:dyDescent="0.3">
      <c r="A1" s="5" t="s">
        <v>73</v>
      </c>
      <c r="B1" s="5" t="s">
        <v>74</v>
      </c>
      <c r="C1" s="5" t="s">
        <v>75</v>
      </c>
      <c r="D1" s="5" t="s">
        <v>76</v>
      </c>
    </row>
    <row r="2" spans="1:4" x14ac:dyDescent="0.3">
      <c r="A2" s="6" t="s">
        <v>77</v>
      </c>
      <c r="B2" s="6">
        <v>9802</v>
      </c>
      <c r="C2" s="6">
        <v>4507</v>
      </c>
      <c r="D2" s="10">
        <f t="shared" ref="D2:D13" si="0">C2/B2</f>
        <v>0.45980412160783513</v>
      </c>
    </row>
    <row r="3" spans="1:4" x14ac:dyDescent="0.3">
      <c r="A3" s="6" t="s">
        <v>78</v>
      </c>
      <c r="B3" s="6">
        <v>6762</v>
      </c>
      <c r="C3" s="6">
        <v>5404</v>
      </c>
      <c r="D3" s="10">
        <f t="shared" si="0"/>
        <v>0.79917184265010355</v>
      </c>
    </row>
    <row r="4" spans="1:4" x14ac:dyDescent="0.3">
      <c r="A4" s="6" t="s">
        <v>79</v>
      </c>
      <c r="B4" s="6">
        <v>8465</v>
      </c>
      <c r="C4" s="6">
        <v>7794</v>
      </c>
      <c r="D4" s="10">
        <f t="shared" si="0"/>
        <v>0.92073242764323682</v>
      </c>
    </row>
    <row r="5" spans="1:4" x14ac:dyDescent="0.3">
      <c r="A5" s="6" t="s">
        <v>80</v>
      </c>
      <c r="B5" s="6">
        <v>6733</v>
      </c>
      <c r="C5" s="6">
        <v>9098</v>
      </c>
      <c r="D5" s="10">
        <f t="shared" si="0"/>
        <v>1.3512550126243874</v>
      </c>
    </row>
    <row r="6" spans="1:4" x14ac:dyDescent="0.3">
      <c r="A6" s="6" t="s">
        <v>81</v>
      </c>
      <c r="B6" s="6">
        <v>9285</v>
      </c>
      <c r="C6" s="6">
        <v>21934</v>
      </c>
      <c r="D6" s="10">
        <f t="shared" si="0"/>
        <v>2.3623047926763596</v>
      </c>
    </row>
    <row r="7" spans="1:4" x14ac:dyDescent="0.3">
      <c r="A7" s="6" t="s">
        <v>82</v>
      </c>
      <c r="B7" s="6">
        <v>7491</v>
      </c>
      <c r="C7" s="6">
        <v>17823</v>
      </c>
      <c r="D7" s="10">
        <f t="shared" si="0"/>
        <v>2.3792551061273528</v>
      </c>
    </row>
    <row r="8" spans="1:4" x14ac:dyDescent="0.3">
      <c r="A8" s="6" t="s">
        <v>83</v>
      </c>
      <c r="B8" s="6">
        <v>9494</v>
      </c>
      <c r="C8" s="6">
        <v>32143</v>
      </c>
      <c r="D8" s="10">
        <f t="shared" si="0"/>
        <v>3.3856119654518642</v>
      </c>
    </row>
    <row r="9" spans="1:4" x14ac:dyDescent="0.3">
      <c r="A9" s="6" t="s">
        <v>84</v>
      </c>
      <c r="B9" s="6">
        <v>18850</v>
      </c>
      <c r="C9" s="6">
        <v>36048</v>
      </c>
      <c r="D9" s="10">
        <f t="shared" si="0"/>
        <v>1.9123607427055702</v>
      </c>
    </row>
    <row r="10" spans="1:4" x14ac:dyDescent="0.3">
      <c r="A10" s="6" t="s">
        <v>85</v>
      </c>
      <c r="B10" s="6">
        <v>12092</v>
      </c>
      <c r="C10" s="6">
        <v>29226</v>
      </c>
      <c r="D10" s="10">
        <f t="shared" si="0"/>
        <v>2.4169698974528613</v>
      </c>
    </row>
    <row r="11" spans="1:4" x14ac:dyDescent="0.3">
      <c r="A11" s="6" t="s">
        <v>86</v>
      </c>
      <c r="B11" s="6">
        <v>20038</v>
      </c>
      <c r="C11" s="6">
        <v>35858</v>
      </c>
      <c r="D11" s="10">
        <f t="shared" si="0"/>
        <v>1.7894999500948199</v>
      </c>
    </row>
    <row r="12" spans="1:4" x14ac:dyDescent="0.3">
      <c r="A12" s="6" t="s">
        <v>87</v>
      </c>
      <c r="B12" s="6">
        <v>14844</v>
      </c>
      <c r="C12" s="6">
        <v>35885</v>
      </c>
      <c r="D12" s="10">
        <f t="shared" si="0"/>
        <v>2.417475074104015</v>
      </c>
    </row>
    <row r="13" spans="1:4" x14ac:dyDescent="0.3">
      <c r="A13" s="6" t="s">
        <v>66</v>
      </c>
      <c r="B13" s="6">
        <v>17568</v>
      </c>
      <c r="C13" s="6">
        <v>39836</v>
      </c>
      <c r="D13" s="10">
        <f t="shared" si="0"/>
        <v>2.2675318761384333</v>
      </c>
    </row>
    <row r="15" spans="1:4" x14ac:dyDescent="0.3">
      <c r="A15" s="8" t="s">
        <v>88</v>
      </c>
    </row>
    <row r="16" spans="1:4" x14ac:dyDescent="0.3">
      <c r="A16" s="8" t="s">
        <v>89</v>
      </c>
    </row>
    <row r="19" spans="1:1" ht="28.8" x14ac:dyDescent="0.55000000000000004">
      <c r="A19" s="11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tabSelected="1" zoomScaleNormal="100" workbookViewId="0">
      <selection activeCell="I15" sqref="I15"/>
    </sheetView>
  </sheetViews>
  <sheetFormatPr defaultColWidth="8.6640625" defaultRowHeight="14.4" x14ac:dyDescent="0.3"/>
  <cols>
    <col min="1" max="1" width="18" customWidth="1"/>
    <col min="2" max="6" width="10" customWidth="1"/>
    <col min="7" max="7" width="18" customWidth="1"/>
  </cols>
  <sheetData>
    <row r="1" spans="1:7" ht="27.6" x14ac:dyDescent="0.3">
      <c r="A1" s="5" t="s">
        <v>30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</row>
    <row r="2" spans="1:7" x14ac:dyDescent="0.3">
      <c r="A2" s="6" t="s">
        <v>61</v>
      </c>
      <c r="B2" s="6">
        <v>8830</v>
      </c>
      <c r="C2" s="6">
        <v>7859</v>
      </c>
      <c r="D2" s="6">
        <v>8506</v>
      </c>
      <c r="E2" s="6">
        <v>8479</v>
      </c>
      <c r="F2" s="6">
        <v>8446</v>
      </c>
      <c r="G2" s="7">
        <f t="shared" ref="G2:G11" si="0">(F2-B2)/B2</f>
        <v>-4.3488108720271798E-2</v>
      </c>
    </row>
    <row r="3" spans="1:7" x14ac:dyDescent="0.3">
      <c r="A3" s="6" t="s">
        <v>58</v>
      </c>
      <c r="B3" s="6">
        <v>6661</v>
      </c>
      <c r="C3" s="6">
        <v>5454</v>
      </c>
      <c r="D3" s="6">
        <v>5263</v>
      </c>
      <c r="E3" s="6">
        <v>5978</v>
      </c>
      <c r="F3" s="6">
        <v>6258</v>
      </c>
      <c r="G3" s="7">
        <f t="shared" si="0"/>
        <v>-6.050142621228044E-2</v>
      </c>
    </row>
    <row r="4" spans="1:7" x14ac:dyDescent="0.3">
      <c r="A4" s="6" t="s">
        <v>50</v>
      </c>
      <c r="B4" s="6">
        <v>3799</v>
      </c>
      <c r="C4" s="6">
        <v>3528</v>
      </c>
      <c r="D4" s="6">
        <v>4080</v>
      </c>
      <c r="E4" s="6">
        <v>4923</v>
      </c>
      <c r="F4" s="6">
        <v>5780</v>
      </c>
      <c r="G4" s="7">
        <f t="shared" si="0"/>
        <v>0.52145301395103971</v>
      </c>
    </row>
    <row r="5" spans="1:7" x14ac:dyDescent="0.3">
      <c r="A5" s="6" t="s">
        <v>49</v>
      </c>
      <c r="B5" s="6">
        <v>2904</v>
      </c>
      <c r="C5" s="6">
        <v>3022</v>
      </c>
      <c r="D5" s="6">
        <v>3389</v>
      </c>
      <c r="E5" s="6">
        <v>4025</v>
      </c>
      <c r="F5" s="6">
        <v>4476</v>
      </c>
      <c r="G5" s="7">
        <f t="shared" si="0"/>
        <v>0.54132231404958675</v>
      </c>
    </row>
    <row r="6" spans="1:7" x14ac:dyDescent="0.3">
      <c r="A6" s="6" t="s">
        <v>47</v>
      </c>
      <c r="B6" s="6">
        <v>3842</v>
      </c>
      <c r="C6" s="6">
        <v>3330</v>
      </c>
      <c r="D6" s="6">
        <v>3487</v>
      </c>
      <c r="E6" s="6">
        <v>4164</v>
      </c>
      <c r="F6" s="6">
        <v>4383</v>
      </c>
      <c r="G6" s="7">
        <f t="shared" si="0"/>
        <v>0.14081207704320667</v>
      </c>
    </row>
    <row r="7" spans="1:7" x14ac:dyDescent="0.3">
      <c r="A7" s="6" t="s">
        <v>57</v>
      </c>
      <c r="B7" s="6">
        <v>3870</v>
      </c>
      <c r="C7" s="6">
        <v>3320</v>
      </c>
      <c r="D7" s="6">
        <v>3829</v>
      </c>
      <c r="E7" s="6">
        <v>4156</v>
      </c>
      <c r="F7" s="6">
        <v>4172</v>
      </c>
      <c r="G7" s="7">
        <f t="shared" si="0"/>
        <v>7.8036175710594319E-2</v>
      </c>
    </row>
    <row r="8" spans="1:7" x14ac:dyDescent="0.3">
      <c r="A8" s="6" t="s">
        <v>38</v>
      </c>
      <c r="B8" s="6">
        <v>3436</v>
      </c>
      <c r="C8" s="6">
        <v>3285</v>
      </c>
      <c r="D8" s="6">
        <v>3517</v>
      </c>
      <c r="E8" s="6">
        <v>3953</v>
      </c>
      <c r="F8" s="6">
        <v>4078</v>
      </c>
      <c r="G8" s="7">
        <f t="shared" si="0"/>
        <v>0.18684516880093133</v>
      </c>
    </row>
    <row r="9" spans="1:7" x14ac:dyDescent="0.3">
      <c r="A9" s="6" t="s">
        <v>36</v>
      </c>
      <c r="B9" s="6">
        <v>3114</v>
      </c>
      <c r="C9" s="6">
        <v>2858</v>
      </c>
      <c r="D9" s="6">
        <v>3602</v>
      </c>
      <c r="E9" s="6">
        <v>3793</v>
      </c>
      <c r="F9" s="6">
        <v>3806</v>
      </c>
      <c r="G9" s="7">
        <f t="shared" si="0"/>
        <v>0.22222222222222221</v>
      </c>
    </row>
    <row r="10" spans="1:7" x14ac:dyDescent="0.3">
      <c r="A10" s="6" t="s">
        <v>59</v>
      </c>
      <c r="B10" s="6">
        <v>2491</v>
      </c>
      <c r="C10" s="6">
        <v>2620</v>
      </c>
      <c r="D10" s="6">
        <v>2735</v>
      </c>
      <c r="E10" s="6">
        <v>3010</v>
      </c>
      <c r="F10" s="6">
        <v>3058</v>
      </c>
      <c r="G10" s="7">
        <f t="shared" si="0"/>
        <v>0.22761942994781212</v>
      </c>
    </row>
    <row r="11" spans="1:7" x14ac:dyDescent="0.3">
      <c r="A11" s="6" t="s">
        <v>42</v>
      </c>
      <c r="B11" s="6">
        <v>1898</v>
      </c>
      <c r="C11" s="6">
        <v>1797</v>
      </c>
      <c r="D11" s="6">
        <v>2077</v>
      </c>
      <c r="E11" s="6">
        <v>2109</v>
      </c>
      <c r="F11" s="6">
        <v>2233</v>
      </c>
      <c r="G11" s="7">
        <f t="shared" si="0"/>
        <v>0.17650158061116966</v>
      </c>
    </row>
    <row r="13" spans="1:7" x14ac:dyDescent="0.3">
      <c r="A13" s="8" t="s">
        <v>97</v>
      </c>
    </row>
    <row r="16" spans="1:7" ht="28.8" x14ac:dyDescent="0.55000000000000004">
      <c r="A16" s="12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Ministry Budget</vt:lpstr>
      <vt:lpstr>State Progress</vt:lpstr>
      <vt:lpstr>Toll Collection</vt:lpstr>
      <vt:lpstr>Land Acquisition Cost</vt:lpstr>
      <vt:lpstr>Road Safety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Hema Phani Sri Jonnala</cp:lastModifiedBy>
  <cp:revision>0</cp:revision>
  <dcterms:created xsi:type="dcterms:W3CDTF">2026-07-30T02:56:14Z</dcterms:created>
  <dcterms:modified xsi:type="dcterms:W3CDTF">2026-07-30T04:55:30Z</dcterms:modified>
  <dc:language>en-US</dc:language>
</cp:coreProperties>
</file>